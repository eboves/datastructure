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BOVES\Desktop\important papers\datastructure\"/>
    </mc:Choice>
  </mc:AlternateContent>
  <xr:revisionPtr revIDLastSave="0" documentId="13_ncr:1_{DB608ED6-0B67-4B68-ABA8-EB66DC1FA3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blem Log" sheetId="2" r:id="rId1"/>
    <sheet name="Dashboard" sheetId="1" r:id="rId2"/>
    <sheet name="Stats by Top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A9" i="1"/>
  <c r="D6" i="1"/>
  <c r="A6" i="1"/>
</calcChain>
</file>

<file path=xl/sharedStrings.xml><?xml version="1.0" encoding="utf-8"?>
<sst xmlns="http://schemas.openxmlformats.org/spreadsheetml/2006/main" count="74" uniqueCount="62">
  <si>
    <t>Elvis's LeetCode Progress Tracker</t>
  </si>
  <si>
    <t>Total Problems Solved</t>
  </si>
  <si>
    <t>Easy Problems</t>
  </si>
  <si>
    <t>Medium Problems</t>
  </si>
  <si>
    <t>Hard Problems</t>
  </si>
  <si>
    <t>📌 Quick Instructions:</t>
  </si>
  <si>
    <t>1. Go to 'Problem Log' tab to add new problems</t>
  </si>
  <si>
    <t>2. Each problem gets its own row (like a card)</t>
  </si>
  <si>
    <t>3. Charts update automatically as you add problems</t>
  </si>
  <si>
    <t>4. Use dropdown menus for Difficulty and Status</t>
  </si>
  <si>
    <t>Date</t>
  </si>
  <si>
    <t>Problem Name</t>
  </si>
  <si>
    <t>Difficulty</t>
  </si>
  <si>
    <t>Status</t>
  </si>
  <si>
    <t>Time (min)</t>
  </si>
  <si>
    <t>LeetCode #</t>
  </si>
  <si>
    <t>Topics/Tags</t>
  </si>
  <si>
    <t>My Solution Notes</t>
  </si>
  <si>
    <t>Key Learnings</t>
  </si>
  <si>
    <t>Two Sum</t>
  </si>
  <si>
    <t>Easy</t>
  </si>
  <si>
    <t>Solved</t>
  </si>
  <si>
    <t>1</t>
  </si>
  <si>
    <t>Array, Hash Table</t>
  </si>
  <si>
    <t>Used dictionary for O(n) solution. Store complement in dict.</t>
  </si>
  <si>
    <t>Hash maps are powerful for lookup optimization!</t>
  </si>
  <si>
    <t>Contains Duplicate</t>
  </si>
  <si>
    <t>217</t>
  </si>
  <si>
    <t>Used set to check duplicates. len(set) vs len(list)</t>
  </si>
  <si>
    <t>Sets automatically handle uniqueness</t>
  </si>
  <si>
    <t>Valid Anagram</t>
  </si>
  <si>
    <t>242</t>
  </si>
  <si>
    <t>String, Hash Table</t>
  </si>
  <si>
    <t>Topic/Category Statistics</t>
  </si>
  <si>
    <t>Topic</t>
  </si>
  <si>
    <t>Medium</t>
  </si>
  <si>
    <t>Hard</t>
  </si>
  <si>
    <t>Array</t>
  </si>
  <si>
    <t>String</t>
  </si>
  <si>
    <t>Hash Table</t>
  </si>
  <si>
    <t>Two Pointers</t>
  </si>
  <si>
    <t>Sliding Window</t>
  </si>
  <si>
    <t>Stack</t>
  </si>
  <si>
    <t>Queue</t>
  </si>
  <si>
    <t>Linked List</t>
  </si>
  <si>
    <t>Tree</t>
  </si>
  <si>
    <t>Graph</t>
  </si>
  <si>
    <t>Dynamic Programming</t>
  </si>
  <si>
    <t>Recursion</t>
  </si>
  <si>
    <t>Backtracking</t>
  </si>
  <si>
    <t>Binary Search</t>
  </si>
  <si>
    <t>saved each char in a dict and add 1 every time y see a char in a string and then subtract one if that char is contained in the other string.</t>
  </si>
  <si>
    <t>need to learn about the methods that the DS uses.</t>
  </si>
  <si>
    <t>Stock Price Profit</t>
  </si>
  <si>
    <t>A min price that is the first item in the list and the max profit 0 at the start of the program.</t>
  </si>
  <si>
    <t>need to learn more about how to interpret the problem.</t>
  </si>
  <si>
    <t>Variables</t>
  </si>
  <si>
    <t>Working</t>
  </si>
  <si>
    <t>Polidrome two pointers</t>
  </si>
  <si>
    <t>has to ask claude since I've never done a two pointers but now I know to to solve it.</t>
  </si>
  <si>
    <t>when dealing with two pointers, need a var for the start and one for the end; the last one using the len(s) -1. and need to check if they are in the middle of the list.</t>
  </si>
  <si>
    <t>Majority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</si>
</sst>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2"/>
      <name val="Calibri"/>
      <family val="2"/>
    </font>
    <font>
      <b/>
      <sz val="24"/>
      <color rgb="FF1F4788"/>
      <name val="Calibri"/>
      <family val="2"/>
    </font>
    <font>
      <b/>
      <sz val="24"/>
      <color rgb="FF006100"/>
      <name val="Calibri"/>
      <family val="2"/>
    </font>
    <font>
      <b/>
      <sz val="24"/>
      <color rgb="FF9C6500"/>
      <name val="Calibri"/>
      <family val="2"/>
    </font>
    <font>
      <b/>
      <sz val="24"/>
      <color rgb="FF9C0006"/>
      <name val="Calibri"/>
      <family val="2"/>
    </font>
    <font>
      <b/>
      <sz val="12"/>
      <color rgb="FF1F4788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788"/>
        <bgColor rgb="FF1F4788"/>
      </patternFill>
    </fill>
    <fill>
      <patternFill patternType="solid">
        <fgColor rgb="FFE7E6E6"/>
        <bgColor rgb="FFE7E6E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1" fillId="3" borderId="0" xfId="0" applyFont="1" applyFill="1"/>
    <xf numFmtId="0" fontId="11" fillId="0" borderId="0" xfId="0" applyFont="1"/>
    <xf numFmtId="0" fontId="9" fillId="4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0" fontId="0" fillId="0" borderId="0" xfId="0"/>
    <xf numFmtId="0" fontId="2" fillId="4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5" borderId="0" xfId="0" applyFont="1" applyFill="1"/>
    <xf numFmtId="0" fontId="3" fillId="0" borderId="0" xfId="0" applyFont="1" applyAlignment="1">
      <alignment horizontal="center"/>
    </xf>
    <xf numFmtId="0" fontId="2" fillId="6" borderId="0" xfId="0" applyFont="1" applyFill="1"/>
    <xf numFmtId="0" fontId="4" fillId="0" borderId="0" xfId="0" applyFont="1" applyAlignment="1">
      <alignment horizontal="center"/>
    </xf>
    <xf numFmtId="0" fontId="7" fillId="0" borderId="0" xfId="0" applyFont="1"/>
    <xf numFmtId="0" fontId="10" fillId="2" borderId="0" xfId="0" applyFont="1" applyFill="1"/>
    <xf numFmtId="0" fontId="0" fillId="0" borderId="0" xfId="0" applyFill="1" applyBorder="1" applyAlignment="1">
      <alignment vertical="top" wrapText="1"/>
    </xf>
    <xf numFmtId="14" fontId="0" fillId="0" borderId="0" xfId="0" applyNumberFormat="1"/>
    <xf numFmtId="0" fontId="9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theme="7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 tint="-0.24994659260841701"/>
      </font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Problems by Difficulty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93-4010-88B6-9DBF0E32A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93-4010-88B6-9DBF0E32A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93-4010-88B6-9DBF0E32AAE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Dashboard!$A$8:$A$10</c:f>
              <c:strCache>
                <c:ptCount val="2"/>
                <c:pt idx="0">
                  <c:v>Medium Problems</c:v>
                </c:pt>
                <c:pt idx="1">
                  <c:v>0</c:v>
                </c:pt>
              </c:strCache>
            </c:strRef>
          </c:cat>
          <c:val>
            <c:numRef>
              <c:f>Dashboard!$B$8:$B$10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0A93-4010-88B6-9DBF0E32AAE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majority-elemen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2" customWidth="1"/>
    <col min="2" max="2" width="30" customWidth="1"/>
    <col min="3" max="4" width="12" customWidth="1"/>
    <col min="5" max="6" width="10" customWidth="1"/>
    <col min="7" max="7" width="25" customWidth="1"/>
    <col min="8" max="9" width="40" customWidth="1"/>
  </cols>
  <sheetData>
    <row r="1" spans="1:9" ht="30" x14ac:dyDescent="0.25">
      <c r="A1" s="1" t="s">
        <v>10</v>
      </c>
      <c r="B1" s="1" t="s">
        <v>11</v>
      </c>
      <c r="C1" s="2" t="s">
        <v>12</v>
      </c>
      <c r="D1" s="3" t="s">
        <v>13</v>
      </c>
      <c r="E1" s="4" t="s">
        <v>14</v>
      </c>
      <c r="F1" s="1" t="s">
        <v>15</v>
      </c>
      <c r="G1" s="2" t="s">
        <v>16</v>
      </c>
      <c r="H1" s="5" t="s">
        <v>17</v>
      </c>
      <c r="I1" s="6" t="s">
        <v>18</v>
      </c>
    </row>
    <row r="2" spans="1:9" ht="30" customHeight="1" x14ac:dyDescent="0.25">
      <c r="A2" s="11">
        <v>46119</v>
      </c>
      <c r="B2" s="7" t="s">
        <v>19</v>
      </c>
      <c r="C2" s="10" t="s">
        <v>20</v>
      </c>
      <c r="D2" s="10" t="s">
        <v>21</v>
      </c>
      <c r="E2" s="7">
        <v>15</v>
      </c>
      <c r="F2" s="7" t="s">
        <v>22</v>
      </c>
      <c r="G2" s="7" t="s">
        <v>23</v>
      </c>
      <c r="H2" s="7" t="s">
        <v>24</v>
      </c>
      <c r="I2" s="7" t="s">
        <v>25</v>
      </c>
    </row>
    <row r="3" spans="1:9" ht="30" customHeight="1" x14ac:dyDescent="0.25">
      <c r="A3" s="11">
        <v>46120</v>
      </c>
      <c r="B3" s="7" t="s">
        <v>26</v>
      </c>
      <c r="C3" s="10" t="s">
        <v>20</v>
      </c>
      <c r="D3" s="10" t="s">
        <v>21</v>
      </c>
      <c r="E3" s="7">
        <v>20</v>
      </c>
      <c r="F3" s="7" t="s">
        <v>27</v>
      </c>
      <c r="G3" s="7" t="s">
        <v>23</v>
      </c>
      <c r="H3" s="7" t="s">
        <v>28</v>
      </c>
      <c r="I3" s="7" t="s">
        <v>29</v>
      </c>
    </row>
    <row r="4" spans="1:9" ht="30" customHeight="1" x14ac:dyDescent="0.25">
      <c r="A4" s="11">
        <v>46125</v>
      </c>
      <c r="B4" s="7" t="s">
        <v>30</v>
      </c>
      <c r="C4" s="10" t="s">
        <v>20</v>
      </c>
      <c r="D4" s="10" t="s">
        <v>21</v>
      </c>
      <c r="E4" s="7">
        <v>23</v>
      </c>
      <c r="F4" s="7" t="s">
        <v>31</v>
      </c>
      <c r="G4" s="7" t="s">
        <v>32</v>
      </c>
      <c r="H4" s="7" t="s">
        <v>51</v>
      </c>
      <c r="I4" s="7" t="s">
        <v>52</v>
      </c>
    </row>
    <row r="5" spans="1:9" ht="46.5" customHeight="1" x14ac:dyDescent="0.25">
      <c r="A5" s="11">
        <v>46125</v>
      </c>
      <c r="B5" s="7" t="s">
        <v>53</v>
      </c>
      <c r="C5" s="10" t="s">
        <v>20</v>
      </c>
      <c r="D5" s="10" t="s">
        <v>21</v>
      </c>
      <c r="E5" s="7">
        <v>20</v>
      </c>
      <c r="F5" s="7">
        <v>121</v>
      </c>
      <c r="G5" s="7" t="s">
        <v>56</v>
      </c>
      <c r="H5" s="7" t="s">
        <v>54</v>
      </c>
      <c r="I5" s="7" t="s">
        <v>55</v>
      </c>
    </row>
    <row r="6" spans="1:9" ht="54.75" customHeight="1" x14ac:dyDescent="0.25">
      <c r="A6" s="13">
        <v>46126</v>
      </c>
      <c r="B6" s="12" t="s">
        <v>58</v>
      </c>
      <c r="C6" s="10" t="s">
        <v>20</v>
      </c>
      <c r="D6" s="10" t="s">
        <v>21</v>
      </c>
      <c r="E6" s="26">
        <v>10</v>
      </c>
      <c r="F6">
        <v>125</v>
      </c>
      <c r="G6" s="26" t="s">
        <v>56</v>
      </c>
      <c r="H6" s="26" t="s">
        <v>59</v>
      </c>
      <c r="I6" s="26" t="s">
        <v>60</v>
      </c>
    </row>
    <row r="7" spans="1:9" x14ac:dyDescent="0.25">
      <c r="A7" s="27">
        <v>46127</v>
      </c>
      <c r="B7" s="12" t="s">
        <v>61</v>
      </c>
      <c r="C7" s="28" t="s">
        <v>20</v>
      </c>
      <c r="D7" s="10" t="s">
        <v>57</v>
      </c>
      <c r="F7">
        <v>169</v>
      </c>
    </row>
  </sheetData>
  <conditionalFormatting sqref="C2:C7">
    <cfRule type="containsText" dxfId="6" priority="5" operator="containsText" text="Hard">
      <formula>NOT(ISERROR(SEARCH("Hard",C2)))</formula>
    </cfRule>
    <cfRule type="containsText" dxfId="5" priority="6" operator="containsText" text="Medium">
      <formula>NOT(ISERROR(SEARCH("Medium",C2)))</formula>
    </cfRule>
    <cfRule type="containsText" dxfId="4" priority="8" operator="containsText" text="Easy">
      <formula>NOT(ISERROR(SEARCH("Easy",C2)))</formula>
    </cfRule>
  </conditionalFormatting>
  <conditionalFormatting sqref="D2:D7">
    <cfRule type="containsText" dxfId="3" priority="2" operator="containsText" text="Skipped">
      <formula>NOT(ISERROR(SEARCH("Skipped",D2)))</formula>
    </cfRule>
    <cfRule type="containsText" dxfId="2" priority="3" operator="containsText" text="Reviewed">
      <formula>NOT(ISERROR(SEARCH("Reviewed",D2)))</formula>
    </cfRule>
    <cfRule type="containsText" dxfId="1" priority="4" operator="containsText" text="Stuck">
      <formula>NOT(ISERROR(SEARCH("Stuck",D2)))</formula>
    </cfRule>
  </conditionalFormatting>
  <conditionalFormatting sqref="D6:D7">
    <cfRule type="containsText" dxfId="0" priority="1" operator="containsText" text="Working">
      <formula>NOT(ISERROR(SEARCH("Working",D6)))</formula>
    </cfRule>
  </conditionalFormatting>
  <dataValidations count="3">
    <dataValidation type="list" errorTitle="Invalid Difficulty" error="Please select Easy, Medium, or Hard" sqref="C2:C1000" xr:uid="{00000000-0002-0000-0100-000000000000}">
      <formula1>"Easy,Medium,Hard"</formula1>
    </dataValidation>
    <dataValidation type="list" errorTitle="Invalid Status" error="Please select a valid status" sqref="D2:D5 D8:D1000" xr:uid="{00000000-0002-0000-0100-000001000000}">
      <formula1>"Solved,Stuck,Reviewed,Skipped"</formula1>
    </dataValidation>
    <dataValidation type="list" errorTitle="Invalid Status" error="Please select a valid status" sqref="D6:D7" xr:uid="{7B6D9C7E-5167-4F88-8D17-907A1AC10E12}">
      <formula1>"Solved,Stuck,Reviewed,Skipped,Working"</formula1>
    </dataValidation>
  </dataValidations>
  <hyperlinks>
    <hyperlink ref="B7" r:id="rId1" display="https://leetcode.com/problems/majority-element/" xr:uid="{3BFB7FC2-0744-426D-B43E-B468482D673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opLeftCell="A10" workbookViewId="0">
      <selection activeCell="O21" sqref="O21"/>
    </sheetView>
  </sheetViews>
  <sheetFormatPr defaultRowHeight="15" x14ac:dyDescent="0.25"/>
  <cols>
    <col min="1" max="2" width="15" customWidth="1"/>
    <col min="3" max="3" width="3" customWidth="1"/>
    <col min="4" max="6" width="15" customWidth="1"/>
  </cols>
  <sheetData>
    <row r="1" spans="1:6" ht="30" customHeight="1" x14ac:dyDescent="0.25">
      <c r="A1" s="17" t="s">
        <v>0</v>
      </c>
      <c r="B1" s="14"/>
      <c r="C1" s="14"/>
      <c r="D1" s="14"/>
      <c r="E1" s="14"/>
      <c r="F1" s="14"/>
    </row>
    <row r="2" spans="1:6" ht="30" customHeight="1" x14ac:dyDescent="0.25">
      <c r="A2" s="14"/>
      <c r="B2" s="14"/>
      <c r="C2" s="14"/>
      <c r="D2" s="14"/>
      <c r="E2" s="14"/>
      <c r="F2" s="14"/>
    </row>
    <row r="3" spans="1:6" ht="30" customHeight="1" x14ac:dyDescent="0.25">
      <c r="A3" s="14"/>
      <c r="B3" s="14"/>
      <c r="C3" s="14"/>
      <c r="D3" s="14"/>
      <c r="E3" s="14"/>
      <c r="F3" s="14"/>
    </row>
    <row r="5" spans="1:6" ht="15.75" x14ac:dyDescent="0.25">
      <c r="A5" s="16" t="s">
        <v>1</v>
      </c>
      <c r="B5" s="14"/>
      <c r="D5" s="15" t="s">
        <v>2</v>
      </c>
      <c r="E5" s="14"/>
    </row>
    <row r="6" spans="1:6" ht="31.5" x14ac:dyDescent="0.5">
      <c r="A6" s="21">
        <f>COUNTA('Problem Log'!A:A)-1</f>
        <v>6</v>
      </c>
      <c r="B6" s="14"/>
      <c r="D6" s="23">
        <f>COUNTIF('Problem Log'!C:C,"Easy")</f>
        <v>6</v>
      </c>
      <c r="E6" s="14"/>
    </row>
    <row r="8" spans="1:6" ht="15.75" x14ac:dyDescent="0.25">
      <c r="A8" s="20" t="s">
        <v>3</v>
      </c>
      <c r="B8" s="14"/>
      <c r="D8" s="22" t="s">
        <v>4</v>
      </c>
      <c r="E8" s="14"/>
    </row>
    <row r="9" spans="1:6" ht="31.5" x14ac:dyDescent="0.5">
      <c r="A9" s="18">
        <f>COUNTIF('Problem Log'!C:C,"Medium")</f>
        <v>0</v>
      </c>
      <c r="B9" s="14"/>
      <c r="D9" s="19">
        <f>COUNTIF('Problem Log'!C:C,"Hard")</f>
        <v>0</v>
      </c>
      <c r="E9" s="14"/>
    </row>
    <row r="12" spans="1:6" ht="15.75" x14ac:dyDescent="0.25">
      <c r="A12" s="24" t="s">
        <v>5</v>
      </c>
      <c r="B12" s="14"/>
      <c r="C12" s="14"/>
      <c r="D12" s="14"/>
      <c r="E12" s="14"/>
    </row>
    <row r="13" spans="1:6" x14ac:dyDescent="0.25">
      <c r="A13" s="14" t="s">
        <v>6</v>
      </c>
      <c r="B13" s="14"/>
      <c r="C13" s="14"/>
      <c r="D13" s="14"/>
      <c r="E13" s="14"/>
    </row>
    <row r="14" spans="1:6" x14ac:dyDescent="0.25">
      <c r="A14" s="14" t="s">
        <v>7</v>
      </c>
      <c r="B14" s="14"/>
      <c r="C14" s="14"/>
      <c r="D14" s="14"/>
      <c r="E14" s="14"/>
    </row>
    <row r="15" spans="1:6" x14ac:dyDescent="0.25">
      <c r="A15" s="14" t="s">
        <v>8</v>
      </c>
      <c r="B15" s="14"/>
      <c r="C15" s="14"/>
      <c r="D15" s="14"/>
      <c r="E15" s="14"/>
    </row>
    <row r="16" spans="1:6" x14ac:dyDescent="0.25">
      <c r="A16" s="14" t="s">
        <v>9</v>
      </c>
      <c r="B16" s="14"/>
      <c r="C16" s="14"/>
      <c r="D16" s="14"/>
      <c r="E16" s="14"/>
    </row>
  </sheetData>
  <mergeCells count="14">
    <mergeCell ref="A16:E16"/>
    <mergeCell ref="A15:E15"/>
    <mergeCell ref="D5:E5"/>
    <mergeCell ref="A5:B5"/>
    <mergeCell ref="A1:F3"/>
    <mergeCell ref="A13:E13"/>
    <mergeCell ref="A14:E14"/>
    <mergeCell ref="A9:B9"/>
    <mergeCell ref="D9:E9"/>
    <mergeCell ref="A8:B8"/>
    <mergeCell ref="A6:B6"/>
    <mergeCell ref="D8:E8"/>
    <mergeCell ref="D6:E6"/>
    <mergeCell ref="A12:E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3" sqref="D3"/>
    </sheetView>
  </sheetViews>
  <sheetFormatPr defaultRowHeight="15" x14ac:dyDescent="0.25"/>
  <cols>
    <col min="1" max="1" width="20" customWidth="1"/>
    <col min="2" max="4" width="10" customWidth="1"/>
  </cols>
  <sheetData>
    <row r="1" spans="1:4" ht="24.95" customHeight="1" x14ac:dyDescent="0.3">
      <c r="A1" s="25" t="s">
        <v>33</v>
      </c>
      <c r="B1" s="14"/>
      <c r="C1" s="14"/>
      <c r="D1" s="14"/>
    </row>
    <row r="2" spans="1:4" x14ac:dyDescent="0.25">
      <c r="A2" s="8" t="s">
        <v>34</v>
      </c>
      <c r="B2" s="8" t="s">
        <v>20</v>
      </c>
      <c r="C2" s="8" t="s">
        <v>35</v>
      </c>
      <c r="D2" s="8" t="s">
        <v>36</v>
      </c>
    </row>
    <row r="3" spans="1:4" x14ac:dyDescent="0.25">
      <c r="A3" s="9" t="s">
        <v>37</v>
      </c>
    </row>
    <row r="4" spans="1:4" x14ac:dyDescent="0.25">
      <c r="A4" s="9" t="s">
        <v>38</v>
      </c>
    </row>
    <row r="5" spans="1:4" x14ac:dyDescent="0.25">
      <c r="A5" s="9" t="s">
        <v>39</v>
      </c>
    </row>
    <row r="6" spans="1:4" x14ac:dyDescent="0.25">
      <c r="A6" s="9" t="s">
        <v>40</v>
      </c>
    </row>
    <row r="7" spans="1:4" x14ac:dyDescent="0.25">
      <c r="A7" s="9" t="s">
        <v>41</v>
      </c>
    </row>
    <row r="8" spans="1:4" x14ac:dyDescent="0.25">
      <c r="A8" s="9" t="s">
        <v>42</v>
      </c>
    </row>
    <row r="9" spans="1:4" x14ac:dyDescent="0.25">
      <c r="A9" s="9" t="s">
        <v>43</v>
      </c>
    </row>
    <row r="10" spans="1:4" x14ac:dyDescent="0.25">
      <c r="A10" s="9" t="s">
        <v>44</v>
      </c>
    </row>
    <row r="11" spans="1:4" x14ac:dyDescent="0.25">
      <c r="A11" s="9" t="s">
        <v>45</v>
      </c>
    </row>
    <row r="12" spans="1:4" x14ac:dyDescent="0.25">
      <c r="A12" s="9" t="s">
        <v>46</v>
      </c>
    </row>
    <row r="13" spans="1:4" x14ac:dyDescent="0.25">
      <c r="A13" s="9" t="s">
        <v>47</v>
      </c>
    </row>
    <row r="14" spans="1:4" x14ac:dyDescent="0.25">
      <c r="A14" s="9" t="s">
        <v>48</v>
      </c>
    </row>
    <row r="15" spans="1:4" x14ac:dyDescent="0.25">
      <c r="A15" s="9" t="s">
        <v>49</v>
      </c>
    </row>
    <row r="16" spans="1:4" x14ac:dyDescent="0.25">
      <c r="A16" s="9" t="s">
        <v>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 Log</vt:lpstr>
      <vt:lpstr>Dashboard</vt:lpstr>
      <vt:lpstr>Stats by 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Elvis Boves</cp:lastModifiedBy>
  <dcterms:created xsi:type="dcterms:W3CDTF">2026-04-12T23:33:42Z</dcterms:created>
  <dcterms:modified xsi:type="dcterms:W3CDTF">2026-04-15T16:51:28Z</dcterms:modified>
</cp:coreProperties>
</file>